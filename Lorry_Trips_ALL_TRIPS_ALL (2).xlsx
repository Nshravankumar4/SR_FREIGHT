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D7900DF-7896-49F0-96D8-E369A9DC4C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rry Trips Reconciliation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D22" i="2" l="1"/>
</calcChain>
</file>

<file path=xl/sharedStrings.xml><?xml version="1.0" encoding="utf-8"?>
<sst xmlns="http://schemas.openxmlformats.org/spreadsheetml/2006/main" count="140" uniqueCount="63">
  <si>
    <t>1. S.No.</t>
  </si>
  <si>
    <t>2. Trip Date</t>
  </si>
  <si>
    <t>3. Vehicle No</t>
  </si>
  <si>
    <t>4. From</t>
  </si>
  <si>
    <t>5. To</t>
  </si>
  <si>
    <t>6. Freight Amount</t>
  </si>
  <si>
    <t>7. Advance Date</t>
  </si>
  <si>
    <t>8. Advance Amount</t>
  </si>
  <si>
    <t>9. Halting Details</t>
  </si>
  <si>
    <t>10. TRSP Name</t>
  </si>
  <si>
    <t>11. TRSP Commission</t>
  </si>
  <si>
    <t>12. Diesel</t>
  </si>
  <si>
    <t>13. Toll Charges</t>
  </si>
  <si>
    <t>14. Loading Charges</t>
  </si>
  <si>
    <t>15. Unloading Charges</t>
  </si>
  <si>
    <t>16. Police Exp</t>
  </si>
  <si>
    <t>17. RTA C/P</t>
  </si>
  <si>
    <t>18. Other Expenses</t>
  </si>
  <si>
    <t>19. Driver Trip Commission</t>
  </si>
  <si>
    <t>20. Sum OF Total Exp</t>
  </si>
  <si>
    <t>21. Total Exp Given</t>
  </si>
  <si>
    <t>22. Status</t>
  </si>
  <si>
    <t>23. P/L</t>
  </si>
  <si>
    <t>24. Date of Balance Recd</t>
  </si>
  <si>
    <t>25. Balance Amount</t>
  </si>
  <si>
    <t>28-08-2026</t>
  </si>
  <si>
    <t>TS15UE1122</t>
  </si>
  <si>
    <t>Hyderabad, Telangana</t>
  </si>
  <si>
    <t>Purnia, Bihar</t>
  </si>
  <si>
    <t>Two days halting during transit</t>
  </si>
  <si>
    <t>MRC</t>
  </si>
  <si>
    <t>Pending</t>
  </si>
  <si>
    <t>P +₹28,000</t>
  </si>
  <si>
    <t>-</t>
  </si>
  <si>
    <t>TG15T6666</t>
  </si>
  <si>
    <t>Paid</t>
  </si>
  <si>
    <t>P +₹48,000</t>
  </si>
  <si>
    <t>17. EXP RTA</t>
  </si>
  <si>
    <t>19. Driver exp</t>
  </si>
  <si>
    <t>20. Trsp Commission</t>
  </si>
  <si>
    <t>Damage-1000,greac-800</t>
  </si>
  <si>
    <t>Status</t>
  </si>
  <si>
    <t>Inprogress</t>
  </si>
  <si>
    <t>Balance Amount STatus</t>
  </si>
  <si>
    <t>Not Recived</t>
  </si>
  <si>
    <t>Reamaing Balance Not Recived</t>
  </si>
  <si>
    <t>130000-119200=10800</t>
  </si>
  <si>
    <t>Remaining Balance Recived Date</t>
  </si>
  <si>
    <t>Remaining Balance Recived Amount</t>
  </si>
  <si>
    <t>IFOthere Note Point need</t>
  </si>
  <si>
    <t>Total Exp</t>
  </si>
  <si>
    <t>sum of {12. Diesel
13. Toll Charges
17. EXP RTA
16. Police Exp
14. Loading Charges
15. Unloading Charges
19. Driver exp
20. Trsp Commission
18. Other Expenses} 
=sum(</t>
  </si>
  <si>
    <t>8. Total Exp Amount</t>
  </si>
  <si>
    <t>Profit Trip Amount</t>
  </si>
  <si>
    <t>7. Advance Amount</t>
  </si>
  <si>
    <t>Not Recived,Recived</t>
  </si>
  <si>
    <t>Advance date</t>
  </si>
  <si>
    <t>Advance amount</t>
  </si>
  <si>
    <t>IMP Point here</t>
  </si>
  <si>
    <t>Balance Amount: Freight Amount - Advance Amount</t>
  </si>
  <si>
    <t>130000-120000=10000</t>
  </si>
  <si>
    <t>Must need to become 0 if not how POD with red Color, where ,
 if they are given this amount I need input date of Recived and amount , where it must fill ex:10000 ,
 if it recived only 9000, reamin need to 1000 POP ,
 fill untilell 0 if 0 this is non pod where in green, and balance status move to done.</t>
  </si>
  <si>
    <t>Profit Trip Amount= freight amount+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</si>
</sst>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#,##0;\([$₹-4009]#,##0\);&quot;-&quot;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.5"/>
      <name val="Calibri"/>
    </font>
    <font>
      <b/>
      <sz val="10.5"/>
      <color rgb="FF1D4ED8"/>
      <name val="Calibri"/>
    </font>
    <font>
      <b/>
      <sz val="10.5"/>
      <color rgb="FF4338CA"/>
      <name val="Calibri"/>
    </font>
    <font>
      <b/>
      <sz val="10.5"/>
      <color rgb="FF6B21A8"/>
      <name val="Calibri"/>
    </font>
    <font>
      <b/>
      <sz val="10.5"/>
      <color rgb="FFB45309"/>
      <name val="Calibri"/>
    </font>
    <font>
      <b/>
      <sz val="10.5"/>
      <color rgb="FF15803D"/>
      <name val="Calibri"/>
    </font>
    <font>
      <b/>
      <sz val="10.5"/>
      <color rgb="FF047857"/>
      <name val="Calibri"/>
    </font>
    <font>
      <b/>
      <sz val="10.5"/>
      <color rgb="FFB91C1C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0.5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EF2FF"/>
      </patternFill>
    </fill>
    <fill>
      <patternFill patternType="solid">
        <fgColor rgb="FFF3E8FF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1" fillId="9" borderId="0" xfId="0" applyFont="1" applyFill="1"/>
    <xf numFmtId="0" fontId="10" fillId="9" borderId="0" xfId="0" applyFont="1" applyFill="1"/>
    <xf numFmtId="0" fontId="12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2" fillId="2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workbookViewId="0">
      <selection activeCell="A3" sqref="A1:XFD3"/>
    </sheetView>
  </sheetViews>
  <sheetFormatPr defaultRowHeight="14.4" x14ac:dyDescent="0.3"/>
  <cols>
    <col min="1" max="1" width="12" customWidth="1"/>
    <col min="2" max="2" width="16" customWidth="1"/>
    <col min="3" max="3" width="17" customWidth="1"/>
    <col min="4" max="5" width="24" customWidth="1"/>
    <col min="6" max="6" width="21" customWidth="1"/>
    <col min="7" max="7" width="19" customWidth="1"/>
    <col min="8" max="8" width="21" customWidth="1"/>
    <col min="9" max="9" width="35" customWidth="1"/>
    <col min="10" max="10" width="18" customWidth="1"/>
    <col min="11" max="11" width="23" customWidth="1"/>
    <col min="12" max="12" width="16" customWidth="1"/>
    <col min="13" max="13" width="20" customWidth="1"/>
    <col min="14" max="14" width="23" customWidth="1"/>
    <col min="15" max="15" width="25" customWidth="1"/>
    <col min="16" max="16" width="18" customWidth="1"/>
    <col min="17" max="17" width="16" customWidth="1"/>
    <col min="18" max="18" width="22" customWidth="1"/>
    <col min="19" max="19" width="30" customWidth="1"/>
    <col min="20" max="20" width="24" customWidth="1"/>
    <col min="21" max="21" width="23" customWidth="1"/>
    <col min="22" max="22" width="16" customWidth="1"/>
    <col min="23" max="23" width="18" customWidth="1"/>
    <col min="24" max="24" width="28" customWidth="1"/>
    <col min="25" max="25" width="22" customWidth="1"/>
  </cols>
  <sheetData>
    <row r="1" spans="1:25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5.05" customHeight="1" x14ac:dyDescent="0.3">
      <c r="A2" s="2">
        <v>1</v>
      </c>
      <c r="B2" s="2" t="s">
        <v>25</v>
      </c>
      <c r="C2" s="3" t="s">
        <v>26</v>
      </c>
      <c r="D2" s="4" t="s">
        <v>27</v>
      </c>
      <c r="E2" s="4" t="s">
        <v>28</v>
      </c>
      <c r="F2" s="5">
        <v>200000</v>
      </c>
      <c r="G2" s="2" t="s">
        <v>25</v>
      </c>
      <c r="H2" s="5">
        <v>90000</v>
      </c>
      <c r="I2" s="4" t="s">
        <v>29</v>
      </c>
      <c r="J2" s="2" t="s">
        <v>30</v>
      </c>
      <c r="K2" s="5">
        <v>2000</v>
      </c>
      <c r="L2" s="5">
        <v>50000</v>
      </c>
      <c r="M2" s="5">
        <v>10000</v>
      </c>
      <c r="N2" s="5">
        <v>2500</v>
      </c>
      <c r="O2" s="5">
        <v>2500</v>
      </c>
      <c r="P2" s="5">
        <v>1000</v>
      </c>
      <c r="Q2" s="5">
        <v>1000</v>
      </c>
      <c r="R2" s="5">
        <v>1000</v>
      </c>
      <c r="S2" s="5">
        <v>12000</v>
      </c>
      <c r="T2" s="6">
        <v>82000</v>
      </c>
      <c r="U2" s="7">
        <v>172000</v>
      </c>
      <c r="V2" s="8" t="s">
        <v>31</v>
      </c>
      <c r="W2" s="9" t="s">
        <v>32</v>
      </c>
      <c r="X2" s="2" t="s">
        <v>33</v>
      </c>
      <c r="Y2" s="10">
        <v>110000</v>
      </c>
    </row>
    <row r="3" spans="1:25" ht="25.05" customHeight="1" x14ac:dyDescent="0.3">
      <c r="A3" s="2">
        <v>2</v>
      </c>
      <c r="B3" s="2" t="s">
        <v>25</v>
      </c>
      <c r="C3" s="3" t="s">
        <v>34</v>
      </c>
      <c r="D3" s="4" t="s">
        <v>27</v>
      </c>
      <c r="E3" s="4" t="s">
        <v>28</v>
      </c>
      <c r="F3" s="5">
        <v>250000</v>
      </c>
      <c r="G3" s="2" t="s">
        <v>25</v>
      </c>
      <c r="H3" s="5">
        <v>90000</v>
      </c>
      <c r="I3" s="4" t="s">
        <v>29</v>
      </c>
      <c r="J3" s="2" t="s">
        <v>30</v>
      </c>
      <c r="K3" s="5">
        <v>2000</v>
      </c>
      <c r="L3" s="5">
        <v>80000</v>
      </c>
      <c r="M3" s="5">
        <v>10000</v>
      </c>
      <c r="N3" s="5">
        <v>2500</v>
      </c>
      <c r="O3" s="5">
        <v>2500</v>
      </c>
      <c r="P3" s="5">
        <v>1000</v>
      </c>
      <c r="Q3" s="5">
        <v>1000</v>
      </c>
      <c r="R3" s="5">
        <v>1000</v>
      </c>
      <c r="S3" s="5">
        <v>12000</v>
      </c>
      <c r="T3" s="6">
        <v>112000</v>
      </c>
      <c r="U3" s="7">
        <v>202000</v>
      </c>
      <c r="V3" s="11" t="s">
        <v>35</v>
      </c>
      <c r="W3" s="9" t="s">
        <v>36</v>
      </c>
      <c r="X3" s="2" t="s">
        <v>33</v>
      </c>
      <c r="Y3" s="10">
        <v>160000</v>
      </c>
    </row>
    <row r="4" spans="1:25" ht="25.05" customHeight="1" x14ac:dyDescent="0.3">
      <c r="A4" s="2"/>
      <c r="B4" s="2"/>
      <c r="C4" s="3"/>
      <c r="D4" s="4"/>
      <c r="E4" s="4"/>
      <c r="F4" s="5"/>
      <c r="G4" s="2"/>
      <c r="H4" s="5"/>
      <c r="I4" s="4"/>
      <c r="J4" s="2"/>
      <c r="K4" s="5"/>
      <c r="L4" s="5"/>
      <c r="M4" s="5"/>
      <c r="N4" s="5"/>
      <c r="O4" s="5"/>
      <c r="P4" s="5"/>
      <c r="Q4" s="5"/>
      <c r="R4" s="5"/>
      <c r="S4" s="5"/>
      <c r="T4" s="6"/>
      <c r="U4" s="7"/>
      <c r="V4" s="11"/>
      <c r="W4" s="9"/>
      <c r="X4" s="2"/>
      <c r="Y4" s="10"/>
    </row>
    <row r="5" spans="1:25" ht="25.05" customHeight="1" x14ac:dyDescent="0.3">
      <c r="A5" s="2"/>
      <c r="B5" s="2"/>
      <c r="C5" s="3"/>
      <c r="D5" s="4"/>
      <c r="E5" s="4"/>
      <c r="F5" s="5"/>
      <c r="G5" s="2"/>
      <c r="H5" s="5"/>
      <c r="I5" s="4"/>
      <c r="J5" s="2"/>
      <c r="K5" s="5"/>
      <c r="L5" s="5"/>
      <c r="M5" s="5"/>
      <c r="N5" s="5"/>
      <c r="O5" s="5"/>
      <c r="P5" s="5"/>
      <c r="Q5" s="5"/>
      <c r="R5" s="5"/>
      <c r="S5" s="5"/>
      <c r="T5" s="6"/>
      <c r="U5" s="7"/>
      <c r="V5" s="8"/>
      <c r="W5" s="12"/>
      <c r="X5" s="2"/>
      <c r="Y5" s="10"/>
    </row>
    <row r="6" spans="1:25" ht="25.05" customHeight="1" x14ac:dyDescent="0.3">
      <c r="A6" s="2"/>
      <c r="B6" s="2"/>
      <c r="C6" s="3"/>
      <c r="D6" s="4"/>
      <c r="E6" s="4"/>
      <c r="F6" s="5"/>
      <c r="G6" s="2"/>
      <c r="H6" s="5"/>
      <c r="I6" s="4"/>
      <c r="J6" s="2"/>
      <c r="K6" s="5"/>
      <c r="L6" s="5"/>
      <c r="M6" s="5"/>
      <c r="N6" s="5"/>
      <c r="O6" s="5"/>
      <c r="P6" s="5"/>
      <c r="Q6" s="5"/>
      <c r="R6" s="5"/>
      <c r="S6" s="5"/>
      <c r="T6" s="6"/>
      <c r="U6" s="7"/>
      <c r="V6" s="8"/>
      <c r="W6" s="9"/>
      <c r="X6" s="2"/>
      <c r="Y6" s="10"/>
    </row>
    <row r="7" spans="1:25" ht="25.05" customHeight="1" x14ac:dyDescent="0.3">
      <c r="A7" s="2"/>
      <c r="B7" s="2"/>
      <c r="C7" s="3"/>
      <c r="D7" s="4"/>
      <c r="E7" s="4"/>
      <c r="F7" s="5"/>
      <c r="G7" s="2"/>
      <c r="H7" s="5"/>
      <c r="I7" s="4"/>
      <c r="J7" s="2"/>
      <c r="K7" s="5"/>
      <c r="L7" s="5"/>
      <c r="M7" s="5"/>
      <c r="N7" s="5"/>
      <c r="O7" s="5"/>
      <c r="P7" s="5"/>
      <c r="Q7" s="5"/>
      <c r="R7" s="5"/>
      <c r="S7" s="5"/>
      <c r="T7" s="6"/>
      <c r="U7" s="7"/>
      <c r="V7" s="13"/>
      <c r="W7" s="9"/>
      <c r="X7" s="2"/>
      <c r="Y7" s="10"/>
    </row>
    <row r="8" spans="1:25" ht="25.05" customHeight="1" x14ac:dyDescent="0.3">
      <c r="A8" s="2"/>
      <c r="B8" s="2"/>
      <c r="C8" s="3"/>
      <c r="D8" s="4"/>
      <c r="E8" s="4"/>
      <c r="F8" s="5"/>
      <c r="G8" s="2"/>
      <c r="H8" s="5"/>
      <c r="I8" s="4"/>
      <c r="J8" s="2"/>
      <c r="K8" s="5"/>
      <c r="L8" s="5"/>
      <c r="M8" s="5"/>
      <c r="N8" s="5"/>
      <c r="O8" s="5"/>
      <c r="P8" s="5"/>
      <c r="Q8" s="5"/>
      <c r="R8" s="5"/>
      <c r="S8" s="5"/>
      <c r="T8" s="6"/>
      <c r="U8" s="7"/>
      <c r="V8" s="13"/>
      <c r="W8" s="12"/>
      <c r="X8" s="2"/>
      <c r="Y8" s="10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299F-82E9-40D0-B146-8EC6B79C9ECD}">
  <dimension ref="A1:Y33"/>
  <sheetViews>
    <sheetView tabSelected="1" topLeftCell="B1" zoomScale="55" workbookViewId="0">
      <selection activeCell="K17" sqref="K17"/>
    </sheetView>
  </sheetViews>
  <sheetFormatPr defaultRowHeight="14.4" x14ac:dyDescent="0.3"/>
  <cols>
    <col min="1" max="1" width="7.5546875" bestFit="1" customWidth="1"/>
    <col min="2" max="2" width="48.6640625" bestFit="1" customWidth="1"/>
    <col min="3" max="3" width="26.109375" bestFit="1" customWidth="1"/>
    <col min="4" max="4" width="23.6640625" bestFit="1" customWidth="1"/>
    <col min="5" max="5" width="11.21875" bestFit="1" customWidth="1"/>
    <col min="6" max="6" width="28.6640625" bestFit="1" customWidth="1"/>
    <col min="7" max="7" width="20.44140625" bestFit="1" customWidth="1"/>
    <col min="8" max="8" width="18.5546875" bestFit="1" customWidth="1"/>
    <col min="9" max="9" width="33.33203125" bestFit="1" customWidth="1"/>
    <col min="10" max="10" width="14.21875" bestFit="1" customWidth="1"/>
    <col min="11" max="11" width="19.6640625" bestFit="1" customWidth="1"/>
    <col min="12" max="12" width="9.109375" bestFit="1" customWidth="1"/>
    <col min="13" max="13" width="14.6640625" bestFit="1" customWidth="1"/>
    <col min="14" max="14" width="18.5546875" bestFit="1" customWidth="1"/>
    <col min="15" max="15" width="20.6640625" bestFit="1" customWidth="1"/>
    <col min="16" max="16" width="12.88671875" bestFit="1" customWidth="1"/>
    <col min="17" max="17" width="11.109375" bestFit="1" customWidth="1"/>
    <col min="18" max="18" width="17.77734375" bestFit="1" customWidth="1"/>
    <col min="19" max="19" width="24.77734375" bestFit="1" customWidth="1"/>
    <col min="20" max="20" width="19.6640625" bestFit="1" customWidth="1"/>
    <col min="21" max="21" width="17.88671875" bestFit="1" customWidth="1"/>
    <col min="22" max="22" width="9.5546875" bestFit="1" customWidth="1"/>
    <col min="23" max="23" width="10.109375" bestFit="1" customWidth="1"/>
    <col min="24" max="24" width="23" bestFit="1" customWidth="1"/>
    <col min="25" max="25" width="18.88671875" bestFit="1" customWidth="1"/>
  </cols>
  <sheetData>
    <row r="1" spans="1:25" ht="31.9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5.05" customHeight="1" x14ac:dyDescent="0.3">
      <c r="A2" s="2">
        <v>1</v>
      </c>
      <c r="B2" s="2" t="s">
        <v>25</v>
      </c>
      <c r="C2" s="3" t="s">
        <v>26</v>
      </c>
      <c r="D2" s="4" t="s">
        <v>27</v>
      </c>
      <c r="E2" s="4" t="s">
        <v>28</v>
      </c>
      <c r="F2" s="5">
        <v>200000</v>
      </c>
      <c r="G2" s="2" t="s">
        <v>25</v>
      </c>
      <c r="H2" s="5">
        <v>90000</v>
      </c>
      <c r="I2" s="4" t="s">
        <v>29</v>
      </c>
      <c r="J2" s="24" t="s">
        <v>30</v>
      </c>
      <c r="K2" s="5">
        <v>2000</v>
      </c>
      <c r="L2" s="5">
        <v>50000</v>
      </c>
      <c r="M2" s="5">
        <v>10000</v>
      </c>
      <c r="N2" s="5">
        <v>2500</v>
      </c>
      <c r="O2" s="5">
        <v>2500</v>
      </c>
      <c r="P2" s="5">
        <v>1000</v>
      </c>
      <c r="Q2" s="5">
        <v>1000</v>
      </c>
      <c r="R2" s="5">
        <v>1000</v>
      </c>
      <c r="S2" s="5">
        <v>12000</v>
      </c>
      <c r="T2" s="6">
        <v>82000</v>
      </c>
      <c r="U2" s="7">
        <v>172000</v>
      </c>
      <c r="V2" s="8" t="s">
        <v>31</v>
      </c>
      <c r="W2" s="9" t="s">
        <v>32</v>
      </c>
      <c r="X2" s="2" t="s">
        <v>33</v>
      </c>
      <c r="Y2" s="10">
        <v>110000</v>
      </c>
    </row>
    <row r="3" spans="1:25" ht="25.05" customHeight="1" x14ac:dyDescent="0.3">
      <c r="A3" s="2">
        <v>2</v>
      </c>
      <c r="B3" s="2" t="s">
        <v>25</v>
      </c>
      <c r="C3" s="3" t="s">
        <v>34</v>
      </c>
      <c r="D3" s="4" t="s">
        <v>27</v>
      </c>
      <c r="E3" s="4" t="s">
        <v>28</v>
      </c>
      <c r="F3" s="5">
        <v>250000</v>
      </c>
      <c r="G3" s="2" t="s">
        <v>25</v>
      </c>
      <c r="H3" s="5">
        <v>90000</v>
      </c>
      <c r="I3" s="4" t="s">
        <v>29</v>
      </c>
      <c r="J3" s="2" t="s">
        <v>30</v>
      </c>
      <c r="K3" s="5">
        <v>2000</v>
      </c>
      <c r="L3" s="5">
        <v>80000</v>
      </c>
      <c r="M3" s="5">
        <v>10000</v>
      </c>
      <c r="N3" s="5">
        <v>2500</v>
      </c>
      <c r="O3" s="5">
        <v>2500</v>
      </c>
      <c r="P3" s="5">
        <v>1000</v>
      </c>
      <c r="Q3" s="5">
        <v>1000</v>
      </c>
      <c r="R3" s="5">
        <v>1000</v>
      </c>
      <c r="S3" s="5">
        <v>12000</v>
      </c>
      <c r="T3" s="6">
        <v>112000</v>
      </c>
      <c r="U3" s="7">
        <v>202000</v>
      </c>
      <c r="V3" s="11" t="s">
        <v>35</v>
      </c>
      <c r="W3" s="9" t="s">
        <v>36</v>
      </c>
      <c r="X3" s="2" t="s">
        <v>33</v>
      </c>
      <c r="Y3" s="10">
        <v>160000</v>
      </c>
    </row>
    <row r="6" spans="1:25" ht="15" thickBot="1" x14ac:dyDescent="0.35">
      <c r="B6" s="1" t="s">
        <v>9</v>
      </c>
      <c r="C6" s="2" t="s">
        <v>30</v>
      </c>
    </row>
    <row r="7" spans="1:25" ht="15" thickBot="1" x14ac:dyDescent="0.35">
      <c r="B7" s="1" t="s">
        <v>1</v>
      </c>
      <c r="C7" s="14">
        <v>46262</v>
      </c>
    </row>
    <row r="8" spans="1:25" ht="15" thickBot="1" x14ac:dyDescent="0.35">
      <c r="B8" s="1" t="s">
        <v>2</v>
      </c>
      <c r="C8" t="s">
        <v>26</v>
      </c>
    </row>
    <row r="9" spans="1:25" ht="15" thickBot="1" x14ac:dyDescent="0.35">
      <c r="B9" s="1" t="s">
        <v>3</v>
      </c>
      <c r="C9" s="4" t="s">
        <v>27</v>
      </c>
    </row>
    <row r="10" spans="1:25" ht="15" thickBot="1" x14ac:dyDescent="0.35">
      <c r="B10" s="1" t="s">
        <v>4</v>
      </c>
      <c r="C10" s="4" t="s">
        <v>28</v>
      </c>
      <c r="F10" s="1" t="s">
        <v>5</v>
      </c>
      <c r="G10">
        <v>130000</v>
      </c>
    </row>
    <row r="11" spans="1:25" ht="15" thickBot="1" x14ac:dyDescent="0.35">
      <c r="B11" s="1" t="s">
        <v>8</v>
      </c>
      <c r="C11" s="4" t="s">
        <v>29</v>
      </c>
      <c r="F11" s="20" t="s">
        <v>52</v>
      </c>
      <c r="G11">
        <v>119200</v>
      </c>
      <c r="I11" s="20" t="s">
        <v>47</v>
      </c>
      <c r="J11" s="14">
        <v>46263</v>
      </c>
    </row>
    <row r="12" spans="1:25" ht="15" thickBot="1" x14ac:dyDescent="0.35">
      <c r="B12" s="1" t="s">
        <v>11</v>
      </c>
      <c r="C12">
        <v>70000</v>
      </c>
      <c r="F12" s="19" t="s">
        <v>53</v>
      </c>
      <c r="G12" t="s">
        <v>46</v>
      </c>
      <c r="I12" s="20" t="s">
        <v>48</v>
      </c>
      <c r="J12">
        <v>10800</v>
      </c>
    </row>
    <row r="13" spans="1:25" ht="15" thickBot="1" x14ac:dyDescent="0.35">
      <c r="B13" s="1" t="s">
        <v>12</v>
      </c>
      <c r="C13">
        <v>20000</v>
      </c>
    </row>
    <row r="14" spans="1:25" ht="15" thickBot="1" x14ac:dyDescent="0.35">
      <c r="B14" s="1" t="s">
        <v>37</v>
      </c>
      <c r="C14">
        <v>8000</v>
      </c>
    </row>
    <row r="15" spans="1:25" ht="15" thickBot="1" x14ac:dyDescent="0.35">
      <c r="B15" s="1" t="s">
        <v>15</v>
      </c>
      <c r="C15">
        <v>2000</v>
      </c>
    </row>
    <row r="16" spans="1:25" ht="15" thickBot="1" x14ac:dyDescent="0.35">
      <c r="B16" s="1" t="s">
        <v>13</v>
      </c>
      <c r="C16">
        <v>2400</v>
      </c>
      <c r="I16" s="1" t="s">
        <v>6</v>
      </c>
    </row>
    <row r="17" spans="2:9" ht="15" thickBot="1" x14ac:dyDescent="0.35">
      <c r="B17" s="1" t="s">
        <v>14</v>
      </c>
      <c r="C17">
        <v>1200</v>
      </c>
      <c r="I17" s="20" t="s">
        <v>54</v>
      </c>
    </row>
    <row r="18" spans="2:9" ht="15" thickBot="1" x14ac:dyDescent="0.35">
      <c r="B18" s="20" t="s">
        <v>38</v>
      </c>
      <c r="C18">
        <v>13600</v>
      </c>
      <c r="F18" s="17" t="s">
        <v>43</v>
      </c>
      <c r="G18" t="s">
        <v>44</v>
      </c>
      <c r="I18" s="16"/>
    </row>
    <row r="19" spans="2:9" ht="15" thickBot="1" x14ac:dyDescent="0.35">
      <c r="B19" s="1" t="s">
        <v>39</v>
      </c>
      <c r="C19">
        <v>0</v>
      </c>
      <c r="F19" s="19" t="s">
        <v>45</v>
      </c>
      <c r="G19" t="s">
        <v>46</v>
      </c>
      <c r="I19" s="16"/>
    </row>
    <row r="20" spans="2:9" ht="15" thickBot="1" x14ac:dyDescent="0.35">
      <c r="B20" s="1" t="s">
        <v>17</v>
      </c>
      <c r="C20">
        <v>2000</v>
      </c>
      <c r="I20" s="16"/>
    </row>
    <row r="21" spans="2:9" x14ac:dyDescent="0.3">
      <c r="B21" s="18" t="s">
        <v>49</v>
      </c>
      <c r="C21" t="s">
        <v>40</v>
      </c>
      <c r="I21" s="16"/>
    </row>
    <row r="22" spans="2:9" ht="159" thickBot="1" x14ac:dyDescent="0.35">
      <c r="B22" s="20" t="s">
        <v>50</v>
      </c>
      <c r="C22" s="21" t="s">
        <v>51</v>
      </c>
      <c r="D22">
        <f>SUM(C12:C20)</f>
        <v>119200</v>
      </c>
      <c r="I22" s="16"/>
    </row>
    <row r="23" spans="2:9" x14ac:dyDescent="0.3">
      <c r="B23" s="15" t="s">
        <v>41</v>
      </c>
      <c r="C23" t="s">
        <v>42</v>
      </c>
      <c r="I23" s="16"/>
    </row>
    <row r="24" spans="2:9" ht="15" thickBot="1" x14ac:dyDescent="0.35">
      <c r="B24" s="1" t="s">
        <v>5</v>
      </c>
      <c r="C24">
        <v>130000</v>
      </c>
      <c r="I24" s="16"/>
    </row>
    <row r="25" spans="2:9" ht="15" thickBot="1" x14ac:dyDescent="0.35">
      <c r="B25" s="20" t="s">
        <v>52</v>
      </c>
      <c r="C25">
        <v>119200</v>
      </c>
      <c r="I25" s="16"/>
    </row>
    <row r="26" spans="2:9" x14ac:dyDescent="0.3">
      <c r="B26" s="19" t="s">
        <v>62</v>
      </c>
      <c r="C26" t="s">
        <v>46</v>
      </c>
      <c r="I26" s="16"/>
    </row>
    <row r="27" spans="2:9" x14ac:dyDescent="0.3">
      <c r="I27" s="16"/>
    </row>
    <row r="28" spans="2:9" x14ac:dyDescent="0.3">
      <c r="B28" s="22" t="s">
        <v>56</v>
      </c>
      <c r="C28" s="14">
        <v>46292</v>
      </c>
      <c r="I28" s="16"/>
    </row>
    <row r="29" spans="2:9" x14ac:dyDescent="0.3">
      <c r="B29" s="22" t="s">
        <v>57</v>
      </c>
      <c r="C29">
        <v>120000</v>
      </c>
      <c r="I29" s="16"/>
    </row>
    <row r="30" spans="2:9" x14ac:dyDescent="0.3">
      <c r="B30" s="23" t="s">
        <v>58</v>
      </c>
      <c r="I30" s="16"/>
    </row>
    <row r="31" spans="2:9" x14ac:dyDescent="0.3">
      <c r="B31" s="17" t="s">
        <v>43</v>
      </c>
      <c r="C31" t="s">
        <v>55</v>
      </c>
      <c r="I31" s="16"/>
    </row>
    <row r="32" spans="2:9" ht="216" x14ac:dyDescent="0.3">
      <c r="B32" s="22" t="s">
        <v>59</v>
      </c>
      <c r="C32" t="s">
        <v>60</v>
      </c>
      <c r="D32" s="21" t="s">
        <v>61</v>
      </c>
      <c r="I32" s="16"/>
    </row>
    <row r="33" spans="9:9" x14ac:dyDescent="0.3">
      <c r="I33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Lorry Trips Reconciliation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2026-09-28T05:21:21Z</dcterms:created>
  <dcterms:modified xsi:type="dcterms:W3CDTF">2026-09-28T06:35:22Z</dcterms:modified>
  <cp:category/>
</cp:coreProperties>
</file>