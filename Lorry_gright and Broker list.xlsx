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Lorry\"/>
    </mc:Choice>
  </mc:AlternateContent>
  <xr:revisionPtr revIDLastSave="0" documentId="13_ncr:1_{667960F3-6D1B-4956-AA58-74931D3F04D4}" xr6:coauthVersionLast="47" xr6:coauthVersionMax="47" xr10:uidLastSave="{00000000-0000-0000-0000-000000000000}"/>
  <bookViews>
    <workbookView xWindow="-108" yWindow="-108" windowWidth="23256" windowHeight="12456" xr2:uid="{9654D7C2-4C29-44FF-8F38-08D5E365DD16}"/>
  </bookViews>
  <sheets>
    <sheet name="Lorry frigh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1" l="1"/>
  <c r="J22" i="1"/>
  <c r="J19" i="1"/>
  <c r="J14" i="1"/>
  <c r="J11" i="1"/>
  <c r="V22" i="1"/>
  <c r="W22" i="1" s="1"/>
  <c r="V19" i="1"/>
  <c r="V14" i="1"/>
  <c r="W14" i="1" s="1"/>
  <c r="V11" i="1"/>
  <c r="W11" i="1" s="1"/>
</calcChain>
</file>

<file path=xl/sharedStrings.xml><?xml version="1.0" encoding="utf-8"?>
<sst xmlns="http://schemas.openxmlformats.org/spreadsheetml/2006/main" count="119" uniqueCount="36">
  <si>
    <t>From</t>
  </si>
  <si>
    <t>To</t>
  </si>
  <si>
    <t>LORRY FRIGHT DETAILS</t>
  </si>
  <si>
    <t>WHERE EACH MONTH COME ONE BLOCK</t>
  </si>
  <si>
    <t>S.No.</t>
  </si>
  <si>
    <t>Trip Date</t>
  </si>
  <si>
    <t>Freight Amount</t>
  </si>
  <si>
    <t>Advance Date</t>
  </si>
  <si>
    <t>Advance Amount</t>
  </si>
  <si>
    <t>Balance Amount</t>
  </si>
  <si>
    <t>Halting Details</t>
  </si>
  <si>
    <t>Purnia, Bihar</t>
  </si>
  <si>
    <t>Hyderabad, Telangana</t>
  </si>
  <si>
    <t>Two days halting during transit</t>
  </si>
  <si>
    <t>Diesel</t>
  </si>
  <si>
    <t>Toll Charges</t>
  </si>
  <si>
    <t>Other Expenses</t>
  </si>
  <si>
    <t>Month</t>
  </si>
  <si>
    <t>Vechicle nO</t>
  </si>
  <si>
    <t>Ts15ue1122</t>
  </si>
  <si>
    <t xml:space="preserve">MRC </t>
  </si>
  <si>
    <t xml:space="preserve">TrSP Name </t>
  </si>
  <si>
    <t xml:space="preserve"> TRSPCommision</t>
  </si>
  <si>
    <t>Loading Charges</t>
  </si>
  <si>
    <t>Unloading Charges</t>
  </si>
  <si>
    <t>RTA C/P</t>
  </si>
  <si>
    <t>Drivere Trip Commision</t>
  </si>
  <si>
    <t>Status</t>
  </si>
  <si>
    <t xml:space="preserve">Status Amount need to show Here </t>
  </si>
  <si>
    <t>Police Exp</t>
  </si>
  <si>
    <t>Status P?L</t>
  </si>
  <si>
    <t>P</t>
  </si>
  <si>
    <t>L</t>
  </si>
  <si>
    <t>TG15T6666</t>
  </si>
  <si>
    <t>Kedch</t>
  </si>
  <si>
    <t>Mechal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</si>
</sst>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57069C-51F4-44A7-81AF-54989FCC277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_n_A4eRHVDOZCvE9AR3Cu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569C-C9FA-40CC-9730-DAE3FD47ED6A}">
  <dimension ref="B3:X62"/>
  <sheetViews>
    <sheetView tabSelected="1" zoomScale="66" workbookViewId="0">
      <selection activeCell="W27" sqref="W27"/>
    </sheetView>
  </sheetViews>
  <sheetFormatPr defaultRowHeight="14.4" x14ac:dyDescent="0.3"/>
  <cols>
    <col min="2" max="2" width="5.6640625" bestFit="1" customWidth="1"/>
    <col min="3" max="3" width="10.5546875" bestFit="1" customWidth="1"/>
    <col min="4" max="4" width="11.88671875" bestFit="1" customWidth="1"/>
    <col min="5" max="5" width="22.6640625" bestFit="1" customWidth="1"/>
    <col min="6" max="6" width="12.88671875" bestFit="1" customWidth="1"/>
    <col min="7" max="7" width="15.21875" bestFit="1" customWidth="1"/>
    <col min="8" max="8" width="13.77734375" bestFit="1" customWidth="1"/>
    <col min="9" max="9" width="16.44140625" bestFit="1" customWidth="1"/>
    <col min="10" max="10" width="16.21875" bestFit="1" customWidth="1"/>
    <col min="11" max="11" width="31.77734375" bestFit="1" customWidth="1"/>
    <col min="12" max="12" width="11.21875" bestFit="1" customWidth="1"/>
    <col min="13" max="13" width="16.21875" bestFit="1" customWidth="1"/>
    <col min="14" max="14" width="7.21875" bestFit="1" customWidth="1"/>
    <col min="15" max="15" width="12.44140625" bestFit="1" customWidth="1"/>
    <col min="16" max="16" width="16.21875" bestFit="1" customWidth="1"/>
    <col min="17" max="17" width="18.77734375" bestFit="1" customWidth="1"/>
    <col min="18" max="18" width="10.21875" bestFit="1" customWidth="1"/>
    <col min="19" max="19" width="7.88671875" bestFit="1" customWidth="1"/>
    <col min="20" max="20" width="15.44140625" bestFit="1" customWidth="1"/>
    <col min="21" max="21" width="23" bestFit="1" customWidth="1"/>
    <col min="22" max="22" width="33.6640625" bestFit="1" customWidth="1"/>
    <col min="23" max="23" width="20" bestFit="1" customWidth="1"/>
    <col min="24" max="24" width="6.88671875" bestFit="1" customWidth="1"/>
  </cols>
  <sheetData>
    <row r="3" spans="2:24" x14ac:dyDescent="0.3">
      <c r="E3" t="s">
        <v>2</v>
      </c>
    </row>
    <row r="4" spans="2:24" x14ac:dyDescent="0.3">
      <c r="C4" s="4" t="s">
        <v>3</v>
      </c>
      <c r="D4" s="4"/>
      <c r="E4" s="4"/>
      <c r="F4" s="4"/>
      <c r="G4" s="4"/>
    </row>
    <row r="9" spans="2:24" x14ac:dyDescent="0.3">
      <c r="C9" s="1" t="s">
        <v>17</v>
      </c>
      <c r="D9" s="1"/>
      <c r="E9" s="3">
        <v>46235</v>
      </c>
    </row>
    <row r="10" spans="2:24" x14ac:dyDescent="0.3">
      <c r="B10" t="s">
        <v>4</v>
      </c>
      <c r="C10" t="s">
        <v>5</v>
      </c>
      <c r="D10" t="s">
        <v>18</v>
      </c>
      <c r="E10" t="s">
        <v>0</v>
      </c>
      <c r="F10" t="s">
        <v>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21</v>
      </c>
      <c r="M10" t="s">
        <v>22</v>
      </c>
      <c r="N10" t="s">
        <v>14</v>
      </c>
      <c r="O10" t="s">
        <v>15</v>
      </c>
      <c r="P10" t="s">
        <v>23</v>
      </c>
      <c r="Q10" t="s">
        <v>24</v>
      </c>
      <c r="R10" t="s">
        <v>29</v>
      </c>
      <c r="S10" t="s">
        <v>25</v>
      </c>
      <c r="T10" t="s">
        <v>16</v>
      </c>
      <c r="U10" t="s">
        <v>26</v>
      </c>
      <c r="V10" t="s">
        <v>28</v>
      </c>
      <c r="W10" t="s">
        <v>27</v>
      </c>
      <c r="X10" t="s">
        <v>30</v>
      </c>
    </row>
    <row r="11" spans="2:24" x14ac:dyDescent="0.3">
      <c r="B11">
        <v>1</v>
      </c>
      <c r="C11" s="1">
        <v>46262</v>
      </c>
      <c r="D11" s="1" t="s">
        <v>19</v>
      </c>
      <c r="E11" t="s">
        <v>12</v>
      </c>
      <c r="F11" t="s">
        <v>11</v>
      </c>
      <c r="G11">
        <v>100000</v>
      </c>
      <c r="H11" s="1">
        <v>46262</v>
      </c>
      <c r="I11">
        <v>90000</v>
      </c>
      <c r="J11">
        <f>G11-I11</f>
        <v>10000</v>
      </c>
      <c r="K11" t="s">
        <v>13</v>
      </c>
      <c r="L11" t="s">
        <v>20</v>
      </c>
      <c r="M11">
        <v>2000</v>
      </c>
      <c r="N11">
        <v>50000</v>
      </c>
      <c r="O11">
        <v>10000</v>
      </c>
      <c r="P11">
        <v>2500</v>
      </c>
      <c r="Q11">
        <v>2500</v>
      </c>
      <c r="R11">
        <v>1000</v>
      </c>
      <c r="S11">
        <v>1000</v>
      </c>
      <c r="T11">
        <v>1000</v>
      </c>
      <c r="U11">
        <v>12000</v>
      </c>
      <c r="V11">
        <f>SUM(M11:U11)</f>
        <v>82000</v>
      </c>
      <c r="W11">
        <f>SUM(G11-V11)</f>
        <v>18000</v>
      </c>
      <c r="X11" t="s">
        <v>31</v>
      </c>
    </row>
    <row r="13" spans="2:24" x14ac:dyDescent="0.3">
      <c r="B13" t="s">
        <v>4</v>
      </c>
      <c r="C13" t="s">
        <v>5</v>
      </c>
      <c r="D13" t="s">
        <v>18</v>
      </c>
      <c r="E13" t="s">
        <v>0</v>
      </c>
      <c r="F13" t="s">
        <v>1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21</v>
      </c>
      <c r="M13" t="s">
        <v>22</v>
      </c>
      <c r="N13" t="s">
        <v>14</v>
      </c>
      <c r="O13" t="s">
        <v>15</v>
      </c>
      <c r="P13" t="s">
        <v>23</v>
      </c>
      <c r="Q13" t="s">
        <v>24</v>
      </c>
      <c r="R13" t="s">
        <v>29</v>
      </c>
      <c r="S13" t="s">
        <v>25</v>
      </c>
      <c r="T13" t="s">
        <v>16</v>
      </c>
      <c r="U13" t="s">
        <v>26</v>
      </c>
      <c r="V13" t="s">
        <v>28</v>
      </c>
      <c r="W13" t="s">
        <v>27</v>
      </c>
      <c r="X13" t="s">
        <v>30</v>
      </c>
    </row>
    <row r="14" spans="2:24" x14ac:dyDescent="0.3">
      <c r="B14">
        <v>1</v>
      </c>
      <c r="C14" s="1">
        <v>46262</v>
      </c>
      <c r="D14" s="1" t="s">
        <v>33</v>
      </c>
      <c r="E14" t="s">
        <v>12</v>
      </c>
      <c r="F14" t="s">
        <v>11</v>
      </c>
      <c r="G14">
        <v>100000</v>
      </c>
      <c r="H14" s="1">
        <v>46262</v>
      </c>
      <c r="I14">
        <v>90000</v>
      </c>
      <c r="J14">
        <f>G14-I14</f>
        <v>10000</v>
      </c>
      <c r="K14" t="s">
        <v>13</v>
      </c>
      <c r="L14" t="s">
        <v>20</v>
      </c>
      <c r="M14">
        <v>2000</v>
      </c>
      <c r="N14">
        <v>80000</v>
      </c>
      <c r="O14">
        <v>10000</v>
      </c>
      <c r="P14">
        <v>2500</v>
      </c>
      <c r="Q14">
        <v>2500</v>
      </c>
      <c r="R14">
        <v>1000</v>
      </c>
      <c r="S14">
        <v>1000</v>
      </c>
      <c r="T14">
        <v>1000</v>
      </c>
      <c r="U14">
        <v>12000</v>
      </c>
      <c r="V14">
        <f>SUM(M14:U14)</f>
        <v>112000</v>
      </c>
      <c r="W14">
        <f>SUM(G14-V14)</f>
        <v>-12000</v>
      </c>
      <c r="X14" t="s">
        <v>32</v>
      </c>
    </row>
    <row r="15" spans="2:24" x14ac:dyDescent="0.3">
      <c r="Q15" s="5"/>
      <c r="R15" s="5"/>
    </row>
    <row r="17" spans="2:24" x14ac:dyDescent="0.3">
      <c r="C17" s="1" t="s">
        <v>17</v>
      </c>
      <c r="D17" s="1"/>
      <c r="E17" s="3">
        <v>46235</v>
      </c>
    </row>
    <row r="18" spans="2:24" x14ac:dyDescent="0.3">
      <c r="B18" t="s">
        <v>4</v>
      </c>
      <c r="C18" t="s">
        <v>5</v>
      </c>
      <c r="D18" t="s">
        <v>18</v>
      </c>
      <c r="E18" t="s">
        <v>0</v>
      </c>
      <c r="F18" t="s">
        <v>1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21</v>
      </c>
      <c r="M18" t="s">
        <v>22</v>
      </c>
      <c r="N18" t="s">
        <v>14</v>
      </c>
      <c r="O18" t="s">
        <v>15</v>
      </c>
      <c r="P18" t="s">
        <v>23</v>
      </c>
      <c r="Q18" t="s">
        <v>24</v>
      </c>
      <c r="R18" t="s">
        <v>29</v>
      </c>
      <c r="S18" t="s">
        <v>25</v>
      </c>
      <c r="T18" t="s">
        <v>16</v>
      </c>
      <c r="U18" t="s">
        <v>26</v>
      </c>
      <c r="V18" t="s">
        <v>28</v>
      </c>
      <c r="W18" t="s">
        <v>27</v>
      </c>
      <c r="X18" t="s">
        <v>30</v>
      </c>
    </row>
    <row r="19" spans="2:24" x14ac:dyDescent="0.3">
      <c r="B19">
        <v>1</v>
      </c>
      <c r="C19" s="1">
        <v>46263</v>
      </c>
      <c r="D19" s="1" t="s">
        <v>19</v>
      </c>
      <c r="E19" t="s">
        <v>12</v>
      </c>
      <c r="F19" t="s">
        <v>34</v>
      </c>
      <c r="G19">
        <v>200000</v>
      </c>
      <c r="H19" s="1">
        <v>46263</v>
      </c>
      <c r="I19">
        <v>150000</v>
      </c>
      <c r="J19">
        <f>G19-I19</f>
        <v>50000</v>
      </c>
      <c r="K19" t="s">
        <v>13</v>
      </c>
      <c r="L19" t="s">
        <v>20</v>
      </c>
      <c r="M19">
        <v>2000</v>
      </c>
      <c r="N19">
        <v>50000</v>
      </c>
      <c r="O19">
        <v>10000</v>
      </c>
      <c r="P19">
        <v>2500</v>
      </c>
      <c r="Q19">
        <v>2500</v>
      </c>
      <c r="R19">
        <v>1000</v>
      </c>
      <c r="S19">
        <v>1000</v>
      </c>
      <c r="T19">
        <v>1000</v>
      </c>
      <c r="U19">
        <v>12000</v>
      </c>
      <c r="V19">
        <f>SUM(M19:U19)</f>
        <v>82000</v>
      </c>
      <c r="W19">
        <f>SUM(G19-V19)</f>
        <v>118000</v>
      </c>
    </row>
    <row r="21" spans="2:24" x14ac:dyDescent="0.3">
      <c r="B21" t="s">
        <v>4</v>
      </c>
      <c r="C21" t="s">
        <v>5</v>
      </c>
      <c r="D21" t="s">
        <v>18</v>
      </c>
      <c r="E21" t="s">
        <v>0</v>
      </c>
      <c r="F21" t="s">
        <v>1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21</v>
      </c>
      <c r="M21" t="s">
        <v>22</v>
      </c>
      <c r="N21" t="s">
        <v>14</v>
      </c>
      <c r="O21" t="s">
        <v>15</v>
      </c>
      <c r="P21" t="s">
        <v>23</v>
      </c>
      <c r="Q21" t="s">
        <v>24</v>
      </c>
      <c r="R21" t="s">
        <v>29</v>
      </c>
      <c r="S21" t="s">
        <v>25</v>
      </c>
      <c r="T21" t="s">
        <v>16</v>
      </c>
      <c r="U21" t="s">
        <v>26</v>
      </c>
      <c r="V21" t="s">
        <v>28</v>
      </c>
      <c r="W21" t="s">
        <v>27</v>
      </c>
      <c r="X21" t="s">
        <v>30</v>
      </c>
    </row>
    <row r="22" spans="2:24" x14ac:dyDescent="0.3">
      <c r="B22">
        <v>1</v>
      </c>
      <c r="C22" s="1">
        <v>46263</v>
      </c>
      <c r="D22" s="1" t="s">
        <v>33</v>
      </c>
      <c r="E22" t="s">
        <v>12</v>
      </c>
      <c r="F22" t="s">
        <v>35</v>
      </c>
      <c r="G22">
        <v>250000</v>
      </c>
      <c r="H22" s="1">
        <v>46263</v>
      </c>
      <c r="I22">
        <v>155000</v>
      </c>
      <c r="J22">
        <f>G22-I22</f>
        <v>95000</v>
      </c>
      <c r="K22" t="s">
        <v>13</v>
      </c>
      <c r="L22" t="s">
        <v>20</v>
      </c>
      <c r="M22">
        <v>2000</v>
      </c>
      <c r="N22">
        <v>20000</v>
      </c>
      <c r="O22">
        <v>90000</v>
      </c>
      <c r="P22">
        <v>55500</v>
      </c>
      <c r="Q22">
        <v>2500</v>
      </c>
      <c r="R22">
        <v>1000</v>
      </c>
      <c r="S22">
        <v>1000</v>
      </c>
      <c r="T22">
        <v>1000</v>
      </c>
      <c r="U22">
        <v>90000</v>
      </c>
      <c r="V22">
        <f>SUM(M22:U22)</f>
        <v>263000</v>
      </c>
      <c r="W22">
        <f>SUM(G22-V22)</f>
        <v>-13000</v>
      </c>
      <c r="X22" t="s">
        <v>32</v>
      </c>
    </row>
    <row r="42" spans="5:10" x14ac:dyDescent="0.3">
      <c r="E42" s="1"/>
      <c r="F42" s="1"/>
      <c r="G42" s="3"/>
      <c r="I42" s="2"/>
      <c r="J42" s="1"/>
    </row>
    <row r="44" spans="5:10" x14ac:dyDescent="0.3">
      <c r="E44" s="1"/>
      <c r="F44" s="1"/>
      <c r="J44" s="1"/>
    </row>
    <row r="49" spans="5:10" x14ac:dyDescent="0.3">
      <c r="E49" s="1"/>
      <c r="F49" s="1"/>
      <c r="G49" s="3"/>
      <c r="I49" s="2"/>
      <c r="J49" s="1"/>
    </row>
    <row r="51" spans="5:10" x14ac:dyDescent="0.3">
      <c r="E51" s="1"/>
      <c r="F51" s="1"/>
      <c r="J51" s="1"/>
    </row>
    <row r="52" spans="5:10" x14ac:dyDescent="0.3">
      <c r="E52" s="1"/>
      <c r="F52" s="1"/>
      <c r="J52" s="1"/>
    </row>
    <row r="53" spans="5:10" x14ac:dyDescent="0.3">
      <c r="E53" s="1"/>
      <c r="F53" s="1"/>
      <c r="J53" s="1"/>
    </row>
    <row r="62" spans="5:10" x14ac:dyDescent="0.3">
      <c r="E62" s="1"/>
      <c r="F62" s="1"/>
      <c r="J62" s="1"/>
    </row>
  </sheetData>
  <mergeCells count="1">
    <mergeCell ref="C4:G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Lorry fright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kumar Nunsavath</dc:creator>
  <cp:lastModifiedBy>Shravan kumar Nunsavath</cp:lastModifiedBy>
  <dcterms:created xsi:type="dcterms:W3CDTF">2026-09-25T08:41:07Z</dcterms:created>
  <dcterms:modified xsi:type="dcterms:W3CDTF">2026-09-25T09:51:59Z</dcterms:modified>
</cp:coreProperties>
</file>